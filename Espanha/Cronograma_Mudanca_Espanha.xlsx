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Linha do tempo - Cães" sheetId="2" state="visible" r:id="rId4"/>
    <sheet name="Cronograma Completo" sheetId="3" state="visible" r:id="rId5"/>
  </sheets>
  <definedNames>
    <definedName function="false" hidden="true" localSheetId="2" name="_xlnm._FilterDatabase" vbProcedure="false">'Cronograma Completo'!$A$2:$H$68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<sst xmlns="http://schemas.openxmlformats.org/spreadsheetml/2006/main" count="489" uniqueCount="201">
  <si>
    <t xml:space="preserve">Mudança para Madrid, Espanha — Laís, Dany, Cookie e Louie</t>
  </si>
  <si>
    <t xml:space="preserve">VOO DE IDA</t>
  </si>
  <si>
    <t xml:space="preserve">Companhia</t>
  </si>
  <si>
    <t xml:space="preserve">Azul</t>
  </si>
  <si>
    <t xml:space="preserve">Origem</t>
  </si>
  <si>
    <t xml:space="preserve">Aeroporto de Viracopos (VCP)</t>
  </si>
  <si>
    <t xml:space="preserve">Destino</t>
  </si>
  <si>
    <t xml:space="preserve">Madrid-Barajas (MAD)</t>
  </si>
  <si>
    <t xml:space="preserve">Data</t>
  </si>
  <si>
    <t xml:space="preserve">22/02/2027 (segunda-feira)</t>
  </si>
  <si>
    <t xml:space="preserve">Horário de partida</t>
  </si>
  <si>
    <t xml:space="preserve">20:55 (horário de Viracopos)</t>
  </si>
  <si>
    <t xml:space="preserve">Horário de chegada</t>
  </si>
  <si>
    <t xml:space="preserve">11:10 do dia seguinte (horário de Madrid)</t>
  </si>
  <si>
    <t xml:space="preserve">⚠ PONTOS CRÍTICOS — NÃO ESQUECER</t>
  </si>
  <si>
    <t xml:space="preserve">•</t>
  </si>
  <si>
    <t xml:space="preserve">Sorologia antirrábica dos cães é o item mais urgente: exige vacina + 30 dias + coleta de sangue + 90 dias de espera antes do embarque. Ver aba 'Linha do tempo - Cães'.</t>
  </si>
  <si>
    <t xml:space="preserve">Vacina antirrábica atual de Cookie e Louie vence em 04/08/2026 — renovar antes do vencimento para não reiniciar prazos.</t>
  </si>
  <si>
    <t xml:space="preserve">Reservar os 2 lugares de pets na cabine da Azul logo: voos internacionais aceitam só 5 animais por voo (1 por passageiro).</t>
  </si>
  <si>
    <t xml:space="preserve">O CVI (Certificado Veterinário Internacional) dos cães só vale por 10 dias — só pode ser emitido entre 12/02/2027 e 21/02/2027.</t>
  </si>
  <si>
    <t xml:space="preserve">Plano A x Plano B da Dany: passaporte espanhol pode não sair a tempo — ter a documentação de cônjuge de cidadão da UE pronta como backup (certidão de casamento apostilada + traduzida).</t>
  </si>
  <si>
    <t xml:space="preserve">Brasileiros não precisam de visto de turista p/ Espanha (90 dias Schengen) — a questão da Dany é só para ficar morando, não para entrar.</t>
  </si>
  <si>
    <t xml:space="preserve">Tratamento antiparasitário (Echinococcus) NAÕ é exigido para a Espanha (só Finlândia, Irlanda, Malta e Reino Unido) — pode ignorar essa etapa.</t>
  </si>
  <si>
    <t xml:space="preserve">A tarjeta de famíliar de cidadão da UE da Dany (se Plano B) só é solicitada depois de chegarem à Espanha — dar entrada antes dos 90 dias de turista vencerem.</t>
  </si>
  <si>
    <t xml:space="preserve">PROGRESSO GERAL</t>
  </si>
  <si>
    <t xml:space="preserve">Total de tarefas</t>
  </si>
  <si>
    <t xml:space="preserve">Concluídas</t>
  </si>
  <si>
    <t xml:space="preserve">Em andamento</t>
  </si>
  <si>
    <t xml:space="preserve">Não iniciadas</t>
  </si>
  <si>
    <t xml:space="preserve">% concluído</t>
  </si>
  <si>
    <t xml:space="preserve">COMO USAR ESTA PLANILHA</t>
  </si>
  <si>
    <t xml:space="preserve">Aba 'Cronograma Completo': lista todas as tarefas organizadas por fase/período. Atualize a coluna Status conforme for avançando (use o filtro do cabeçalho para focar numa fase ou categoria).</t>
  </si>
  <si>
    <t xml:space="preserve">Aba 'Linha do tempo - Cães': calculadora automática das datas-limite da documentação de Cookie e Louie — basta digitar a data real da vacina na célula azul.</t>
  </si>
  <si>
    <t xml:space="preserve">As informações legais (visto, exportação de pets) foram pesquisadas em fontes oficiais (MAPA, Receita Federal, Ministério das Migrações da Espanha), mas regras mudam — confirme prazos exatos com um advogado de extranjería/contador antes de cada etapa crítica.</t>
  </si>
  <si>
    <t xml:space="preserve">Linha do tempo — Documentação de exportação de Cookie e Louie (Brasil → UE/Espanha)</t>
  </si>
  <si>
    <t xml:space="preserve">Digite aqui a data real em que a vacina antirrábica for (re)aplicada:</t>
  </si>
  <si>
    <t xml:space="preserve">2026-07-15</t>
  </si>
  <si>
    <t xml:space="preserve">Etapa</t>
  </si>
  <si>
    <t xml:space="preserve">Data calculada</t>
  </si>
  <si>
    <t xml:space="preserve">Regra aplicada (fonte: MAPA / Regulamento UE 576-577/2013)</t>
  </si>
  <si>
    <t xml:space="preserve">Vacina antirrábica aplicada</t>
  </si>
  <si>
    <t xml:space="preserve">Precisa ser aplicada depois (ou no mesmo dia) do microchip. Vencimento: 1 ano após esta data.</t>
  </si>
  <si>
    <t xml:space="preserve">Data mínima p/ coleta de sangue (sorologia)</t>
  </si>
  <si>
    <t xml:space="preserve">Amostra só pode ser colhida a partir de 30 dias após a vacina.</t>
  </si>
  <si>
    <t xml:space="preserve">Vencimento da vacina (renovar antes!)</t>
  </si>
  <si>
    <t xml:space="preserve">Revacinação fora do prazo de validade é tratada como 1ª vacinação (reinicia contagens).</t>
  </si>
  <si>
    <t xml:space="preserve">Data mínima de embarque liberado</t>
  </si>
  <si>
    <t xml:space="preserve">É preciso aguardar 90 dias entre a coleta de sangue e o embarque do animal.</t>
  </si>
  <si>
    <t xml:space="preserve">Data do voo (fixa)</t>
  </si>
  <si>
    <t xml:space="preserve">Viracopos → Madrid, Azul, 22/02/2027.</t>
  </si>
  <si>
    <t xml:space="preserve">Margem de segurança até o voo</t>
  </si>
  <si>
    <t xml:space="preserve">Dias de sobra entre a liberação e o voo — quanto maior, melhor (recomendado 30+ dias).</t>
  </si>
  <si>
    <t xml:space="preserve">Início da janela para emitir o CVI</t>
  </si>
  <si>
    <t xml:space="preserve">O CVI só vale por 10 dias antes da chegada à UE — não emitir antes desta data.</t>
  </si>
  <si>
    <t xml:space="preserve">Fim da janela para emitir o CVI</t>
  </si>
  <si>
    <t xml:space="preserve">Emitir o CVI o mais perto possível do embarque, dentro da janela de 10 dias.</t>
  </si>
  <si>
    <t xml:space="preserve">Checagem automática</t>
  </si>
  <si>
    <t xml:space="preserve">Outras regras já confirmadas (fixas, não dependem da data da vacina):</t>
  </si>
  <si>
    <t xml:space="preserve">Microchip ISO 11784/11785 — Cookie e Louie já têm, só confirmar registro atualizado na clínica.</t>
  </si>
  <si>
    <t xml:space="preserve">Tratamento antiparasitário (Echinococcus) NÃO é exigido para a Espanha (só Finlândia, Irlanda, Malta, Reino Unido).</t>
  </si>
  <si>
    <t xml:space="preserve">Azul (voo internacional, cabine): até 10kg por conjunto (cão + caixa), 1 pet por passageiro, máx. 5 animais/voo, taxa ~R$1.400 (econômica). Vacina deve ter entre 30 dias e 1 ano de aplicada na data do voo.</t>
  </si>
  <si>
    <t xml:space="preserve">Atestado de saúde da Azul (diferente do CVI): emitido por veterinário, validade de 10 dias — providenciar junto com o CVI, na mesma semana do embarque.</t>
  </si>
  <si>
    <t xml:space="preserve">Cronograma completo — Mudança para Madrid (hoje: 21/06/2026 → voo: 22/02/2027)</t>
  </si>
  <si>
    <t xml:space="preserve">Nº</t>
  </si>
  <si>
    <t xml:space="preserve">Fase / Período</t>
  </si>
  <si>
    <t xml:space="preserve">Categoria</t>
  </si>
  <si>
    <t xml:space="preserve">Tarefa</t>
  </si>
  <si>
    <t xml:space="preserve">Responsável</t>
  </si>
  <si>
    <t xml:space="preserve">Prazo sugerido</t>
  </si>
  <si>
    <t xml:space="preserve">Status</t>
  </si>
  <si>
    <t xml:space="preserve">Observações</t>
  </si>
  <si>
    <t xml:space="preserve">FASE 0 — URGENTE (jun-jul/2026)</t>
  </si>
  <si>
    <t xml:space="preserve">Cachorros</t>
  </si>
  <si>
    <t xml:space="preserve">Renovar a vacina antirrábica de Cookie e Louie (a atual vence em 04/08/2026) — fazer com antecedência para já iniciar a contagem dos 30 dias exigidos antes da sorologia</t>
  </si>
  <si>
    <t xml:space="preserve">Ambos</t>
  </si>
  <si>
    <t xml:space="preserve">Até 15/07/2026</t>
  </si>
  <si>
    <t xml:space="preserve">Não iniciado</t>
  </si>
  <si>
    <t xml:space="preserve">Revacinar antes do vencimento mantém a continuidade do histórico. Confirmar microchip já registrado antes/no mesmo dia.</t>
  </si>
  <si>
    <t xml:space="preserve">Confirmar com a clínica veterinária que o microchip de cada cão é padrão ISO 11784/11785 e está corretamente registrado</t>
  </si>
  <si>
    <t xml:space="preserve">Você</t>
  </si>
  <si>
    <t xml:space="preserve">Até 30/06/2026</t>
  </si>
  <si>
    <t xml:space="preserve">Exigência do MAPA para emissão do CVI</t>
  </si>
  <si>
    <t xml:space="preserve">Escolher e contratar uma clínica/despachante especializado em exportação de pets para conduzir todo o processo (vacina, sorologia, atestado de saúde e futura emissão do CVI)</t>
  </si>
  <si>
    <t xml:space="preserve">Procurar veterinários credenciados pelo MAPA/Vigiagro ou empresas especializadas (ex.: Pet Trip)</t>
  </si>
  <si>
    <t xml:space="preserve">Contatar a Azul para reservar os 2 lugares de pets na cabine do voo de 22/02/2027 (Viracopos → Madrid)</t>
  </si>
  <si>
    <t xml:space="preserve">Voos internacionais aceitam só 5 animais/voo e 1 por passageiro. Taxa ~R$1.400/cão (econômica). Limite 10kg (cão+caixa)</t>
  </si>
  <si>
    <t xml:space="preserve">Imigração/Visto</t>
  </si>
  <si>
    <t xml:space="preserve">Confirmar validade do seu passaporte tcheco (mínimo 6 meses de validade após a viagem)</t>
  </si>
  <si>
    <t xml:space="preserve">Acompanhar de perto o andamento do passaporte espanhol da Dany e definir um prazo-limite realista de decisão entre Plano A (passaporte sai a tempo) e Plano B (ela entra como cônjuge de cidadão da UE)</t>
  </si>
  <si>
    <t xml:space="preserve">Dany</t>
  </si>
  <si>
    <t xml:space="preserve">Contínuo — revisar mensalmente</t>
  </si>
  <si>
    <t xml:space="preserve">Iniciar apostilamento de Haia + tradução juramentada da certidão de casamento (necessária para o Plano B da Dany)</t>
  </si>
  <si>
    <t xml:space="preserve">Até 31/07/2026</t>
  </si>
  <si>
    <t xml:space="preserve">Consultar advogado de extranjería ou a embaixada da Espanha sobre os requisitos atuais da 'tarjeta de residencia de familiar de ciudadano de la Unión Europea'</t>
  </si>
  <si>
    <t xml:space="preserve">Esse trâmite só é feito depois de chegarem à Espanha; resolução em até 3 meses, validade inicial de 5 anos</t>
  </si>
  <si>
    <t xml:space="preserve">Apartamento</t>
  </si>
  <si>
    <t xml:space="preserve">Reler o contrato de aluguel e confirmar prazo de aviso prévio, multa por rescisão antecipada e data definitiva de entrega</t>
  </si>
  <si>
    <t xml:space="preserve">Avisar formalmente (por escrito) o proprietário/imobiliária sobre a intenção de saída e data prevista</t>
  </si>
  <si>
    <t xml:space="preserve">Logo após confirmar a data</t>
  </si>
  <si>
    <t xml:space="preserve">Financeiro/Fiscal</t>
  </si>
  <si>
    <t xml:space="preserve">Conversar com contador especializado em expatriados sobre a Declaração de Saída Definitiva do Brasil e implicações fiscais de virar não-residente</t>
  </si>
  <si>
    <t xml:space="preserve">Declaração é entregue no ano seguinte à saída, normalmente entre março e maio</t>
  </si>
  <si>
    <t xml:space="preserve">Mapear todas as contas bancárias, cartões, investimentos, consórcios e previdência privada no Brasil, decidindo o que fechar, manter ou transferir</t>
  </si>
  <si>
    <t xml:space="preserve">Pesquisar contas digitais multimoeda (Wise, N26, Revolut) para usar na transição antes de abrir conta espanhola</t>
  </si>
  <si>
    <t xml:space="preserve">Carros</t>
  </si>
  <si>
    <t xml:space="preserve">Decidir a estratégia de venda dos 2 carros (vender já ou manter até mais perto da viagem) e como resolver mobilidade nas últimas semanas (Uber, carro de família, locação)</t>
  </si>
  <si>
    <t xml:space="preserve">Móveis/Casa</t>
  </si>
  <si>
    <t xml:space="preserve">Levantar e fotografar todos os móveis/eletros da casa para começar a anunciar a venda</t>
  </si>
  <si>
    <t xml:space="preserve">Trabalho/Renda</t>
  </si>
  <si>
    <t xml:space="preserve">Planejar a transição profissional: prazos de saída dos empregos atuais e como vão gerar renda na Espanha (CLT local, remoto, autônomo/empresa)</t>
  </si>
  <si>
    <t xml:space="preserve">FASE 1 (ago-out/2026)</t>
  </si>
  <si>
    <t xml:space="preserve">Levar Cookie e Louie para a coleta de sangue (sorologia antirrábica) — ver data calculada na aba 'Linha do tempo - Cães'</t>
  </si>
  <si>
    <t xml:space="preserve">~30 dias após a vacina</t>
  </si>
  <si>
    <t xml:space="preserve">Amostra precisa ir a um laboratório aprovado pela UE; guardar comprovante de envio</t>
  </si>
  <si>
    <t xml:space="preserve">Acompanhar o resultado da sorologia (nível de anticorpos deve ser ≥0,5 UI/ml). Se vier insatisfatório, revacinar e reiniciar a contagem dos 30 dias</t>
  </si>
  <si>
    <t xml:space="preserve">Algumas semanas após a coleta</t>
  </si>
  <si>
    <t xml:space="preserve">Comprar/confirmar a caixa de transporte aprovada pela Azul (tamanho permitido sob o assento) e habituar os cães a ela com antecedência</t>
  </si>
  <si>
    <t xml:space="preserve">Até 31/10/2026</t>
  </si>
  <si>
    <t xml:space="preserve">Tomar a decisão final sobre o Plano A/B da Dany com base no andamento real do passaporte espanhol</t>
  </si>
  <si>
    <t xml:space="preserve">Até 30/09/2026</t>
  </si>
  <si>
    <t xml:space="preserve">Se Plano B confirmado: finalizar apostilamento/tradução da certidão de casamento e reunir cópia do seu passaporte e comprovantes de vínculo com a Espanha</t>
  </si>
  <si>
    <t xml:space="preserve">Documentos pessoais</t>
  </si>
  <si>
    <t xml:space="preserve">Solicitar certidão de antecedentes criminais e demais certidões que possam ser exigidas no processo de residência</t>
  </si>
  <si>
    <t xml:space="preserve">Confirmar com o proprietário, por escrito, a data exata de entrega do apartamento</t>
  </si>
  <si>
    <t xml:space="preserve">Moradia</t>
  </si>
  <si>
    <t xml:space="preserve">Confirmar com a avó os detalhes da estadia temporária (datas, espaço para os 2 cães, regras da casa)</t>
  </si>
  <si>
    <t xml:space="preserve">Começar a pesquisar bairros, faixas de aluguel e grupos de brasileiros/expatriados em Madrid</t>
  </si>
  <si>
    <t xml:space="preserve">Anunciar os carros à venda (se a estratégia escolhida for vender nessa janela)</t>
  </si>
  <si>
    <t xml:space="preserve">Conforme estratégia definida</t>
  </si>
  <si>
    <t xml:space="preserve">Iniciar a venda de itens menos essenciais (decoração, livros, duplicados, roupas)</t>
  </si>
  <si>
    <t xml:space="preserve">Separar reserva de emergência em moeda forte/conta internacional</t>
  </si>
  <si>
    <t xml:space="preserve">FASE 2 (nov-dez/2026)</t>
  </si>
  <si>
    <t xml:space="preserve">Confirmar que já se passaram os 90 dias desde a coleta de sangue (marco que libera o embarque) — ver aba 'Linha do tempo - Cães'</t>
  </si>
  <si>
    <t xml:space="preserve">Verificar data calculada</t>
  </si>
  <si>
    <t xml:space="preserve">Guardar cópia autenticada do laudo do laboratório com o resultado da sorologia — será anexada ao CVI</t>
  </si>
  <si>
    <t xml:space="preserve">Assim que sair o resultado</t>
  </si>
  <si>
    <t xml:space="preserve">Agendar a vistoria de saída do apartamento com a imobiliária/proprietário</t>
  </si>
  <si>
    <t xml:space="preserve">Até 30/11/2026</t>
  </si>
  <si>
    <t xml:space="preserve">Iniciar a mudança gradual de itens essenciais para a casa da avó</t>
  </si>
  <si>
    <t xml:space="preserve">Dezembro/2026</t>
  </si>
  <si>
    <t xml:space="preserve">Vender os carros, se ainda não vendidos — não convém ficar sem comprador definido para depois de janeiro</t>
  </si>
  <si>
    <t xml:space="preserve">Até 31/12/2026</t>
  </si>
  <si>
    <t xml:space="preserve">Vender os móveis grandes (quarto, sala, cozinha, eletrodomésticos); doar o que não vender</t>
  </si>
  <si>
    <t xml:space="preserve">Começar a cancelar/transferir contratos de serviços recorrentes (internet, TV por assinatura, planos de celular, seguros)</t>
  </si>
  <si>
    <t xml:space="preserve">Comunicar formalmente o desligamento/transição no trabalho atual, cumprindo aviso prévio</t>
  </si>
  <si>
    <t xml:space="preserve">Conforme aviso prévio de cada um</t>
  </si>
  <si>
    <t xml:space="preserve">Reservar hospedagem temporária pet-friendly em Madrid para os primeiros dias/semanas</t>
  </si>
  <si>
    <t xml:space="preserve">Reunir e organizar todos os documentos pessoais e dos cães em uma pasta física e uma digital (nuvem)</t>
  </si>
  <si>
    <t xml:space="preserve">FASE 3 (jan/2027)</t>
  </si>
  <si>
    <t xml:space="preserve">Entregar definitivamente o apartamento: devolver chaves, fazer vistoria final, acertar caução/condomínio</t>
  </si>
  <si>
    <t xml:space="preserve">Conforme data do contrato</t>
  </si>
  <si>
    <t xml:space="preserve">Mudança efetiva para a casa da avó com Cookie e Louie</t>
  </si>
  <si>
    <t xml:space="preserve">Logo após entrega do apartamento</t>
  </si>
  <si>
    <t xml:space="preserve">Finalizar qualquer venda pendente; resolver transferência de documento (DUT) e comunicar ao Detran</t>
  </si>
  <si>
    <t xml:space="preserve">Antes de 31/01/2027</t>
  </si>
  <si>
    <t xml:space="preserve">Fechar contas/cartões que não serão mantidos; confirmar como vão movimentar dinheiro já na Espanha</t>
  </si>
  <si>
    <t xml:space="preserve">Até 31/01/2027</t>
  </si>
  <si>
    <t xml:space="preserve">Verificar tributação (IOF) e limites para enviar dinheiro para fora do Brasil, se for o caso</t>
  </si>
  <si>
    <t xml:space="preserve">Contratar seguro viagem internacional com cobertura de saúde para os primeiros meses (pode ser exigido no processo de residência da Dany)</t>
  </si>
  <si>
    <t xml:space="preserve">Últimos dias de trabalho / handover de pendências</t>
  </si>
  <si>
    <t xml:space="preserve">Conforme datas individuais</t>
  </si>
  <si>
    <t xml:space="preserve">Despedidas/Diversos</t>
  </si>
  <si>
    <t xml:space="preserve">Decidir o que vai de bagagem despachada x mão; separar o essencial para os primeiros dias em Madrid</t>
  </si>
  <si>
    <t xml:space="preserve">Cancelar/atualizar endereço em assinaturas, correspondências e Correios</t>
  </si>
  <si>
    <t xml:space="preserve">FASE 4 — semana final (1-21/fev/2027)</t>
  </si>
  <si>
    <t xml:space="preserve">Levar Cookie e Louie ao veterinário oficial credenciado pelo MAPA para emitir o Atestado de Saúde e o CVI — válido só por 10 dias antes da chegada na UE</t>
  </si>
  <si>
    <t xml:space="preserve">Entre 12/02/2027 e 21/02/2027</t>
  </si>
  <si>
    <t xml:space="preserve">Ver janela exata na aba 'Linha do tempo - Cães'</t>
  </si>
  <si>
    <t xml:space="preserve">Agendar a inspeção/validação da Vigiagro no Aeroporto de Viracopos antes do embarque</t>
  </si>
  <si>
    <t xml:space="preserve">Dias antes de 22/02/2027</t>
  </si>
  <si>
    <t xml:space="preserve">Voo/Logística</t>
  </si>
  <si>
    <t xml:space="preserve">Reconfirmar com a Azul a reserva dos 2 pets, conferir peso de cada cão + caixa (limite 10kg o conjunto) e horário recomendado de chegada ao aeroporto</t>
  </si>
  <si>
    <t xml:space="preserve">Semana de 15/02/2027</t>
  </si>
  <si>
    <t xml:space="preserve">Organizar despedidas de família e amigos</t>
  </si>
  <si>
    <t xml:space="preserve">Devolver itens emprestados e resolver pendências que ficarão no Brasil (considerar procuração para alguém de confiança)</t>
  </si>
  <si>
    <t xml:space="preserve">Até 20/02/2027</t>
  </si>
  <si>
    <t xml:space="preserve">Montar a pasta final de documentos (física + digital): passaportes, CVI e vacinação dos cães, certidão de casamento apostilada, comprovantes de residência/voo, seguro viagem</t>
  </si>
  <si>
    <t xml:space="preserve">Até 21/02/2027</t>
  </si>
  <si>
    <t xml:space="preserve">Avisar bancos/cartões sobre uso internacional; ativar roaming ou comprar chip/eSIM internacional</t>
  </si>
  <si>
    <t xml:space="preserve">FASE 5 — dia da viagem (22/02/2027)</t>
  </si>
  <si>
    <t xml:space="preserve">Chegar ao Aeroporto de Viracopos com bastante antecedência (recomendado 3-4h antes, por causa da documentação dos pets)</t>
  </si>
  <si>
    <t xml:space="preserve">22/02/2027 — voo 20:55</t>
  </si>
  <si>
    <t xml:space="preserve">Validar o CVI dos cães com a Vigiagro no aeroporto antes do check-in/embarque</t>
  </si>
  <si>
    <t xml:space="preserve">22/02/2027</t>
  </si>
  <si>
    <t xml:space="preserve">Check-in Azul com Cookie e Louie na cabine</t>
  </si>
  <si>
    <t xml:space="preserve">Chegada em Madrid-Barajas (11:10) — passar pelo controle de Sanidad Exterior/aduana com a documentação dos cães e pela imigração</t>
  </si>
  <si>
    <t xml:space="preserve">22-23/02/2027</t>
  </si>
  <si>
    <t xml:space="preserve">FASE 6 — primeiras semanas em Madrid</t>
  </si>
  <si>
    <t xml:space="preserve">Agendar cita previa para o Certificado de Registro de Ciudadano de la Unión Europea (seu, como cidadão tcheco) o quanto antes — filas em Madrid costumam ser longas</t>
  </si>
  <si>
    <t xml:space="preserve">1ª semana em Madrid</t>
  </si>
  <si>
    <t xml:space="preserve">Registrar o empadronamiento no endereço temporário/definitivo</t>
  </si>
  <si>
    <t xml:space="preserve">Primeiras semanas</t>
  </si>
  <si>
    <t xml:space="preserve">Se Plano B: reunir documentação e dar entrada no pedido da Tarjeta de Residencia de Familiar de Ciudadano de la Unión Europea para a Dany, antes que os 90 dias de turista vençam</t>
  </si>
  <si>
    <t xml:space="preserve">Antes de ~22/05/2027</t>
  </si>
  <si>
    <t xml:space="preserve">Abrir conta bancária espanhola (normalmente exige NIE/certificado de registro)</t>
  </si>
  <si>
    <t xml:space="preserve">Procurar e fechar aluguel definitivo em Madrid (pet-friendly)</t>
  </si>
  <si>
    <t xml:space="preserve">Primeiras semanas/meses</t>
  </si>
  <si>
    <t xml:space="preserve">Cadastrar Cookie e Louie em veterinário local e verificar o registro/censo canino obrigatório da Comunidad de Madrid (RIAM)</t>
  </si>
  <si>
    <t xml:space="preserve">Formalizar a situação de trabalho/renda na Espanha (registro como autônomo, contrato local, alta na Seguridade Social)</t>
  </si>
  <si>
    <t xml:space="preserve">Entregar a Declaração de Saída Definitiva do Brasil no prazo do ano seguinte — confirmar prazo exato com contador</t>
  </si>
  <si>
    <t xml:space="preserve">2028 (prazo a confirmar)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</si>
</sst>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/AAAA"/>
    <numFmt numFmtId="167" formatCode="0&quot; dias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F2CC"/>
      </patternFill>
    </fill>
    <fill>
      <patternFill patternType="solid">
        <fgColor rgb="FF2E5395"/>
        <bgColor rgb="FF1F3864"/>
      </patternFill>
    </fill>
    <fill>
      <patternFill patternType="solid">
        <fgColor rgb="FFF8CBAD"/>
        <bgColor rgb="FFFFE69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8DC"/>
      </patternFill>
    </fill>
    <fill>
      <patternFill patternType="solid">
        <fgColor rgb="FFFFF8DC"/>
        <bgColor rgb="FFFFF2CC"/>
      </patternFill>
    </fill>
    <fill>
      <patternFill patternType="solid">
        <fgColor rgb="FFD9E2F3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E539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8D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FE699"/>
      <rgbColor rgb="FFFFF2CC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2" customFormat="false" ht="15" hidden="false" customHeight="false" outlineLevel="0" collapsed="false">
      <c r="A12" s="5" t="s">
        <v>14</v>
      </c>
    </row>
    <row r="13" customFormat="false" ht="30" hidden="false" customHeight="true" outlineLevel="0" collapsed="false">
      <c r="A13" s="6" t="s">
        <v>15</v>
      </c>
      <c r="B13" s="7" t="s">
        <v>16</v>
      </c>
      <c r="C13" s="7"/>
      <c r="D13" s="7"/>
      <c r="E13" s="7"/>
      <c r="F13" s="7"/>
      <c r="G13" s="7"/>
      <c r="H13" s="7"/>
    </row>
    <row r="14" customFormat="false" ht="30" hidden="false" customHeight="true" outlineLevel="0" collapsed="false">
      <c r="A14" s="6" t="s">
        <v>15</v>
      </c>
      <c r="B14" s="7" t="s">
        <v>17</v>
      </c>
      <c r="C14" s="7"/>
      <c r="D14" s="7"/>
      <c r="E14" s="7"/>
      <c r="F14" s="7"/>
      <c r="G14" s="7"/>
      <c r="H14" s="7"/>
    </row>
    <row r="15" customFormat="false" ht="30" hidden="false" customHeight="true" outlineLevel="0" collapsed="false">
      <c r="A15" s="6" t="s">
        <v>15</v>
      </c>
      <c r="B15" s="7" t="s">
        <v>18</v>
      </c>
      <c r="C15" s="7"/>
      <c r="D15" s="7"/>
      <c r="E15" s="7"/>
      <c r="F15" s="7"/>
      <c r="G15" s="7"/>
      <c r="H15" s="7"/>
    </row>
    <row r="16" customFormat="false" ht="30" hidden="false" customHeight="true" outlineLevel="0" collapsed="false">
      <c r="A16" s="6" t="s">
        <v>15</v>
      </c>
      <c r="B16" s="7" t="s">
        <v>19</v>
      </c>
      <c r="C16" s="7"/>
      <c r="D16" s="7"/>
      <c r="E16" s="7"/>
      <c r="F16" s="7"/>
      <c r="G16" s="7"/>
      <c r="H16" s="7"/>
    </row>
    <row r="17" customFormat="false" ht="30" hidden="false" customHeight="true" outlineLevel="0" collapsed="false">
      <c r="A17" s="6" t="s">
        <v>15</v>
      </c>
      <c r="B17" s="7" t="s">
        <v>20</v>
      </c>
      <c r="C17" s="7"/>
      <c r="D17" s="7"/>
      <c r="E17" s="7"/>
      <c r="F17" s="7"/>
      <c r="G17" s="7"/>
      <c r="H17" s="7"/>
    </row>
    <row r="18" customFormat="false" ht="30" hidden="false" customHeight="true" outlineLevel="0" collapsed="false">
      <c r="A18" s="6" t="s">
        <v>15</v>
      </c>
      <c r="B18" s="7" t="s">
        <v>21</v>
      </c>
      <c r="C18" s="7"/>
      <c r="D18" s="7"/>
      <c r="E18" s="7"/>
      <c r="F18" s="7"/>
      <c r="G18" s="7"/>
      <c r="H18" s="7"/>
    </row>
    <row r="19" customFormat="false" ht="30" hidden="false" customHeight="true" outlineLevel="0" collapsed="false">
      <c r="A19" s="6" t="s">
        <v>15</v>
      </c>
      <c r="B19" s="7" t="s">
        <v>22</v>
      </c>
      <c r="C19" s="7"/>
      <c r="D19" s="7"/>
      <c r="E19" s="7"/>
      <c r="F19" s="7"/>
      <c r="G19" s="7"/>
      <c r="H19" s="7"/>
    </row>
    <row r="20" customFormat="false" ht="30" hidden="false" customHeight="true" outlineLevel="0" collapsed="false">
      <c r="A20" s="6" t="s">
        <v>15</v>
      </c>
      <c r="B20" s="7" t="s">
        <v>23</v>
      </c>
      <c r="C20" s="7"/>
      <c r="D20" s="7"/>
      <c r="E20" s="7"/>
      <c r="F20" s="7"/>
      <c r="G20" s="7"/>
      <c r="H20" s="7"/>
    </row>
    <row r="22" customFormat="false" ht="15" hidden="false" customHeight="false" outlineLevel="0" collapsed="false">
      <c r="A22" s="2" t="s">
        <v>24</v>
      </c>
    </row>
    <row r="23" customFormat="false" ht="15" hidden="false" customHeight="false" outlineLevel="0" collapsed="false">
      <c r="A23" s="4" t="s">
        <v>25</v>
      </c>
      <c r="B23" s="4" t="n">
        <f aca="false">COUNTA('Cronograma Completo'!C3:C300)</f>
        <v>66</v>
      </c>
    </row>
    <row r="24" customFormat="false" ht="15" hidden="false" customHeight="false" outlineLevel="0" collapsed="false">
      <c r="A24" s="4" t="s">
        <v>26</v>
      </c>
      <c r="B24" s="4" t="n">
        <f aca="false">COUNTIF('Cronograma Completo'!G3:G300,"Concluído")</f>
        <v>0</v>
      </c>
    </row>
    <row r="25" customFormat="false" ht="15" hidden="false" customHeight="false" outlineLevel="0" collapsed="false">
      <c r="A25" s="4" t="s">
        <v>27</v>
      </c>
      <c r="B25" s="4" t="n">
        <f aca="false">COUNTIF('Cronograma Completo'!G3:G300,"Em andamento")</f>
        <v>0</v>
      </c>
    </row>
    <row r="26" customFormat="false" ht="15" hidden="false" customHeight="false" outlineLevel="0" collapsed="false">
      <c r="A26" s="4" t="s">
        <v>28</v>
      </c>
      <c r="B26" s="4" t="n">
        <f aca="false">COUNTIF('Cronograma Completo'!G3:G300,"Não iniciado")</f>
        <v>66</v>
      </c>
    </row>
    <row r="27" customFormat="false" ht="15" hidden="false" customHeight="false" outlineLevel="0" collapsed="false">
      <c r="A27" s="4" t="s">
        <v>29</v>
      </c>
      <c r="B27" s="8" t="n">
        <f aca="false">B24/B23</f>
        <v>0</v>
      </c>
    </row>
    <row r="29" customFormat="false" ht="15" hidden="false" customHeight="false" outlineLevel="0" collapsed="false">
      <c r="A29" s="2" t="s">
        <v>30</v>
      </c>
    </row>
    <row r="30" customFormat="false" ht="30" hidden="false" customHeight="true" outlineLevel="0" collapsed="false">
      <c r="A30" s="3" t="s">
        <v>15</v>
      </c>
      <c r="B30" s="7" t="s">
        <v>31</v>
      </c>
      <c r="C30" s="7"/>
      <c r="D30" s="7"/>
      <c r="E30" s="7"/>
      <c r="F30" s="7"/>
      <c r="G30" s="7"/>
      <c r="H30" s="7"/>
    </row>
    <row r="31" customFormat="false" ht="30" hidden="false" customHeight="true" outlineLevel="0" collapsed="false">
      <c r="A31" s="3" t="s">
        <v>15</v>
      </c>
      <c r="B31" s="7" t="s">
        <v>32</v>
      </c>
      <c r="C31" s="7"/>
      <c r="D31" s="7"/>
      <c r="E31" s="7"/>
      <c r="F31" s="7"/>
      <c r="G31" s="7"/>
      <c r="H31" s="7"/>
    </row>
    <row r="32" customFormat="false" ht="30" hidden="false" customHeight="true" outlineLevel="0" collapsed="false">
      <c r="A32" s="3" t="s">
        <v>15</v>
      </c>
      <c r="B32" s="7" t="s">
        <v>33</v>
      </c>
      <c r="C32" s="7"/>
      <c r="D32" s="7"/>
      <c r="E32" s="7"/>
      <c r="F32" s="7"/>
      <c r="G32" s="7"/>
      <c r="H32" s="7"/>
    </row>
  </sheetData>
  <mergeCells count="12">
    <mergeCell ref="A1:H2"/>
    <mergeCell ref="B13:H13"/>
    <mergeCell ref="B14:H14"/>
    <mergeCell ref="B15:H15"/>
    <mergeCell ref="B16:H16"/>
    <mergeCell ref="B17:H17"/>
    <mergeCell ref="B18:H18"/>
    <mergeCell ref="B19:H19"/>
    <mergeCell ref="B20:H20"/>
    <mergeCell ref="B30:H30"/>
    <mergeCell ref="B31:H31"/>
    <mergeCell ref="B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5" min="3" style="0" width="20"/>
  </cols>
  <sheetData>
    <row r="1" customFormat="false" ht="30" hidden="false" customHeight="true" outlineLevel="0" collapsed="false">
      <c r="A1" s="9" t="s">
        <v>34</v>
      </c>
      <c r="B1" s="9"/>
      <c r="C1" s="9"/>
      <c r="D1" s="9"/>
      <c r="E1" s="9"/>
    </row>
    <row r="3" customFormat="false" ht="26.85" hidden="false" customHeight="true" outlineLevel="0" collapsed="false">
      <c r="A3" s="10" t="s">
        <v>35</v>
      </c>
      <c r="B3" s="10"/>
      <c r="C3" s="11" t="s">
        <v>36</v>
      </c>
    </row>
    <row r="5" customFormat="false" ht="15" hidden="false" customHeight="false" outlineLevel="0" collapsed="false">
      <c r="A5" s="12" t="s">
        <v>37</v>
      </c>
      <c r="B5" s="12" t="s">
        <v>38</v>
      </c>
      <c r="C5" s="13" t="s">
        <v>39</v>
      </c>
      <c r="D5" s="13"/>
      <c r="E5" s="13"/>
    </row>
    <row r="6" customFormat="false" ht="27.75" hidden="false" customHeight="true" outlineLevel="0" collapsed="false">
      <c r="A6" s="14" t="s">
        <v>40</v>
      </c>
      <c r="B6" s="15" t="str">
        <f aca="false">C3</f>
        <v>2026-07-15</v>
      </c>
      <c r="C6" s="7" t="s">
        <v>41</v>
      </c>
      <c r="D6" s="7"/>
      <c r="E6" s="7"/>
    </row>
    <row r="7" customFormat="false" ht="27.75" hidden="false" customHeight="true" outlineLevel="0" collapsed="false">
      <c r="A7" s="14" t="s">
        <v>42</v>
      </c>
      <c r="B7" s="15" t="n">
        <f aca="false">C3+30</f>
        <v>46248</v>
      </c>
      <c r="C7" s="7" t="s">
        <v>43</v>
      </c>
      <c r="D7" s="7"/>
      <c r="E7" s="7"/>
    </row>
    <row r="8" customFormat="false" ht="27.75" hidden="false" customHeight="true" outlineLevel="0" collapsed="false">
      <c r="A8" s="14" t="s">
        <v>44</v>
      </c>
      <c r="B8" s="15" t="n">
        <f aca="false">C3+365</f>
        <v>46583</v>
      </c>
      <c r="C8" s="7" t="s">
        <v>45</v>
      </c>
      <c r="D8" s="7"/>
      <c r="E8" s="7"/>
    </row>
    <row r="9" customFormat="false" ht="27.75" hidden="false" customHeight="true" outlineLevel="0" collapsed="false">
      <c r="A9" s="14" t="s">
        <v>46</v>
      </c>
      <c r="B9" s="15" t="n">
        <f aca="false">C3+30+90</f>
        <v>46338</v>
      </c>
      <c r="C9" s="7" t="s">
        <v>47</v>
      </c>
      <c r="D9" s="7"/>
      <c r="E9" s="7"/>
    </row>
    <row r="10" customFormat="false" ht="27.75" hidden="false" customHeight="true" outlineLevel="0" collapsed="false">
      <c r="A10" s="14" t="s">
        <v>48</v>
      </c>
      <c r="B10" s="15" t="n">
        <f aca="false">DATE(2027,2,22)</f>
        <v>46440</v>
      </c>
      <c r="C10" s="7" t="s">
        <v>49</v>
      </c>
      <c r="D10" s="7"/>
      <c r="E10" s="7"/>
    </row>
    <row r="11" customFormat="false" ht="27.75" hidden="false" customHeight="true" outlineLevel="0" collapsed="false">
      <c r="A11" s="14" t="s">
        <v>50</v>
      </c>
      <c r="B11" s="16" t="n">
        <f aca="false">DATE(2027,2,22)-(C3+30+90)</f>
        <v>102</v>
      </c>
      <c r="C11" s="7" t="s">
        <v>51</v>
      </c>
      <c r="D11" s="7"/>
      <c r="E11" s="7"/>
    </row>
    <row r="12" customFormat="false" ht="27.75" hidden="false" customHeight="true" outlineLevel="0" collapsed="false">
      <c r="A12" s="14" t="s">
        <v>52</v>
      </c>
      <c r="B12" s="15" t="n">
        <f aca="false">DATE(2027,2,22)-10</f>
        <v>46430</v>
      </c>
      <c r="C12" s="7" t="s">
        <v>53</v>
      </c>
      <c r="D12" s="7"/>
      <c r="E12" s="7"/>
    </row>
    <row r="13" customFormat="false" ht="27.75" hidden="false" customHeight="true" outlineLevel="0" collapsed="false">
      <c r="A13" s="14" t="s">
        <v>54</v>
      </c>
      <c r="B13" s="15" t="n">
        <f aca="false">DATE(2027,2,22)</f>
        <v>46440</v>
      </c>
      <c r="C13" s="7" t="s">
        <v>55</v>
      </c>
      <c r="D13" s="7"/>
      <c r="E13" s="7"/>
    </row>
    <row r="15" customFormat="false" ht="15" hidden="false" customHeight="false" outlineLevel="0" collapsed="false">
      <c r="A15" s="2" t="s">
        <v>56</v>
      </c>
    </row>
    <row r="16" customFormat="false" ht="15" hidden="false" customHeight="false" outlineLevel="0" collapsed="false">
      <c r="A16" s="17" t="str">
        <f aca="false">IF(DATE(2027,2,22)&gt;=(C3+30+90),"✔ OK — dá tempo confortável até o voo","⚠ ATENÇÃO — vacinar IMEDIATAMENTE, prazo está apertado")</f>
        <v>✔ OK — dá tempo confortável até o voo</v>
      </c>
      <c r="B16" s="17"/>
      <c r="C16" s="17"/>
      <c r="D16" s="17"/>
      <c r="E16" s="17"/>
    </row>
    <row r="18" customFormat="false" ht="15" hidden="false" customHeight="true" outlineLevel="0" collapsed="false">
      <c r="A18" s="10" t="s">
        <v>57</v>
      </c>
      <c r="B18" s="10"/>
      <c r="C18" s="10"/>
      <c r="D18" s="10"/>
      <c r="E18" s="10"/>
    </row>
    <row r="19" customFormat="false" ht="27.75" hidden="false" customHeight="true" outlineLevel="0" collapsed="false">
      <c r="A19" s="3" t="s">
        <v>15</v>
      </c>
      <c r="B19" s="7" t="s">
        <v>58</v>
      </c>
      <c r="C19" s="7"/>
      <c r="D19" s="7"/>
      <c r="E19" s="7"/>
    </row>
    <row r="20" customFormat="false" ht="27.75" hidden="false" customHeight="true" outlineLevel="0" collapsed="false">
      <c r="A20" s="3" t="s">
        <v>15</v>
      </c>
      <c r="B20" s="7" t="s">
        <v>59</v>
      </c>
      <c r="C20" s="7"/>
      <c r="D20" s="7"/>
      <c r="E20" s="7"/>
    </row>
    <row r="21" customFormat="false" ht="27.75" hidden="false" customHeight="true" outlineLevel="0" collapsed="false">
      <c r="A21" s="3" t="s">
        <v>15</v>
      </c>
      <c r="B21" s="7" t="s">
        <v>60</v>
      </c>
      <c r="C21" s="7"/>
      <c r="D21" s="7"/>
      <c r="E21" s="7"/>
    </row>
    <row r="22" customFormat="false" ht="27.75" hidden="false" customHeight="true" outlineLevel="0" collapsed="false">
      <c r="A22" s="3" t="s">
        <v>15</v>
      </c>
      <c r="B22" s="7" t="s">
        <v>61</v>
      </c>
      <c r="C22" s="7"/>
      <c r="D22" s="7"/>
      <c r="E22" s="7"/>
    </row>
  </sheetData>
  <mergeCells count="17">
    <mergeCell ref="A1:E1"/>
    <mergeCell ref="A3:B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16:E16"/>
    <mergeCell ref="A18:E18"/>
    <mergeCell ref="B19:E19"/>
    <mergeCell ref="B20:E20"/>
    <mergeCell ref="B21:E21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40"/>
  </cols>
  <sheetData>
    <row r="1" customFormat="false" ht="25.5" hidden="false" customHeight="true" outlineLevel="0" collapsed="false">
      <c r="A1" s="9" t="s">
        <v>62</v>
      </c>
      <c r="B1" s="9"/>
      <c r="C1" s="9"/>
      <c r="D1" s="9"/>
      <c r="E1" s="9"/>
      <c r="F1" s="9"/>
      <c r="G1" s="9"/>
      <c r="H1" s="9"/>
    </row>
    <row r="2" customFormat="false" ht="26.85" hidden="false" customHeight="false" outlineLevel="0" collapsed="false">
      <c r="A2" s="18" t="s">
        <v>63</v>
      </c>
      <c r="B2" s="18" t="s">
        <v>64</v>
      </c>
      <c r="C2" s="18" t="s">
        <v>65</v>
      </c>
      <c r="D2" s="18" t="s">
        <v>66</v>
      </c>
      <c r="E2" s="18" t="s">
        <v>67</v>
      </c>
      <c r="F2" s="18" t="s">
        <v>68</v>
      </c>
      <c r="G2" s="18" t="s">
        <v>69</v>
      </c>
      <c r="H2" s="18" t="s">
        <v>70</v>
      </c>
    </row>
    <row r="3" customFormat="false" ht="35.05" hidden="false" customHeight="false" outlineLevel="0" collapsed="false">
      <c r="A3" s="19" t="n">
        <v>1</v>
      </c>
      <c r="B3" s="20" t="s">
        <v>71</v>
      </c>
      <c r="C3" s="19" t="s">
        <v>72</v>
      </c>
      <c r="D3" s="21" t="s">
        <v>73</v>
      </c>
      <c r="E3" s="19" t="s">
        <v>74</v>
      </c>
      <c r="F3" s="19" t="s">
        <v>75</v>
      </c>
      <c r="G3" s="19" t="s">
        <v>76</v>
      </c>
      <c r="H3" s="21" t="s">
        <v>77</v>
      </c>
    </row>
    <row r="4" customFormat="false" ht="35.05" hidden="false" customHeight="false" outlineLevel="0" collapsed="false">
      <c r="A4" s="19" t="n">
        <v>2</v>
      </c>
      <c r="B4" s="20" t="s">
        <v>71</v>
      </c>
      <c r="C4" s="19" t="s">
        <v>72</v>
      </c>
      <c r="D4" s="21" t="s">
        <v>78</v>
      </c>
      <c r="E4" s="19" t="s">
        <v>79</v>
      </c>
      <c r="F4" s="19" t="s">
        <v>80</v>
      </c>
      <c r="G4" s="19" t="s">
        <v>76</v>
      </c>
      <c r="H4" s="21" t="s">
        <v>81</v>
      </c>
    </row>
    <row r="5" customFormat="false" ht="46.25" hidden="false" customHeight="false" outlineLevel="0" collapsed="false">
      <c r="A5" s="19" t="n">
        <v>3</v>
      </c>
      <c r="B5" s="20" t="s">
        <v>71</v>
      </c>
      <c r="C5" s="19" t="s">
        <v>72</v>
      </c>
      <c r="D5" s="21" t="s">
        <v>82</v>
      </c>
      <c r="E5" s="19" t="s">
        <v>74</v>
      </c>
      <c r="F5" s="19" t="s">
        <v>80</v>
      </c>
      <c r="G5" s="19" t="s">
        <v>76</v>
      </c>
      <c r="H5" s="21" t="s">
        <v>83</v>
      </c>
    </row>
    <row r="6" customFormat="false" ht="35.05" hidden="false" customHeight="false" outlineLevel="0" collapsed="false">
      <c r="A6" s="19" t="n">
        <v>4</v>
      </c>
      <c r="B6" s="20" t="s">
        <v>71</v>
      </c>
      <c r="C6" s="19" t="s">
        <v>72</v>
      </c>
      <c r="D6" s="21" t="s">
        <v>84</v>
      </c>
      <c r="E6" s="19" t="s">
        <v>79</v>
      </c>
      <c r="F6" s="19" t="s">
        <v>80</v>
      </c>
      <c r="G6" s="19" t="s">
        <v>76</v>
      </c>
      <c r="H6" s="21" t="s">
        <v>85</v>
      </c>
    </row>
    <row r="7" customFormat="false" ht="23.85" hidden="false" customHeight="false" outlineLevel="0" collapsed="false">
      <c r="A7" s="19" t="n">
        <v>5</v>
      </c>
      <c r="B7" s="20" t="s">
        <v>71</v>
      </c>
      <c r="C7" s="19" t="s">
        <v>86</v>
      </c>
      <c r="D7" s="21" t="s">
        <v>87</v>
      </c>
      <c r="E7" s="19" t="s">
        <v>79</v>
      </c>
      <c r="F7" s="19" t="s">
        <v>80</v>
      </c>
      <c r="G7" s="19" t="s">
        <v>76</v>
      </c>
      <c r="H7" s="21"/>
    </row>
    <row r="8" customFormat="false" ht="46.25" hidden="false" customHeight="false" outlineLevel="0" collapsed="false">
      <c r="A8" s="19" t="n">
        <v>6</v>
      </c>
      <c r="B8" s="20" t="s">
        <v>71</v>
      </c>
      <c r="C8" s="19" t="s">
        <v>86</v>
      </c>
      <c r="D8" s="21" t="s">
        <v>88</v>
      </c>
      <c r="E8" s="19" t="s">
        <v>89</v>
      </c>
      <c r="F8" s="19" t="s">
        <v>90</v>
      </c>
      <c r="G8" s="19" t="s">
        <v>76</v>
      </c>
      <c r="H8" s="21"/>
    </row>
    <row r="9" customFormat="false" ht="35.05" hidden="false" customHeight="false" outlineLevel="0" collapsed="false">
      <c r="A9" s="19" t="n">
        <v>7</v>
      </c>
      <c r="B9" s="20" t="s">
        <v>71</v>
      </c>
      <c r="C9" s="19" t="s">
        <v>86</v>
      </c>
      <c r="D9" s="21" t="s">
        <v>91</v>
      </c>
      <c r="E9" s="19" t="s">
        <v>74</v>
      </c>
      <c r="F9" s="19" t="s">
        <v>92</v>
      </c>
      <c r="G9" s="19" t="s">
        <v>76</v>
      </c>
      <c r="H9" s="21"/>
    </row>
    <row r="10" customFormat="false" ht="35.05" hidden="false" customHeight="false" outlineLevel="0" collapsed="false">
      <c r="A10" s="19" t="n">
        <v>8</v>
      </c>
      <c r="B10" s="20" t="s">
        <v>71</v>
      </c>
      <c r="C10" s="19" t="s">
        <v>86</v>
      </c>
      <c r="D10" s="21" t="s">
        <v>93</v>
      </c>
      <c r="E10" s="19" t="s">
        <v>74</v>
      </c>
      <c r="F10" s="19" t="s">
        <v>92</v>
      </c>
      <c r="G10" s="19" t="s">
        <v>76</v>
      </c>
      <c r="H10" s="21" t="s">
        <v>94</v>
      </c>
    </row>
    <row r="11" customFormat="false" ht="35.05" hidden="false" customHeight="false" outlineLevel="0" collapsed="false">
      <c r="A11" s="19" t="n">
        <v>9</v>
      </c>
      <c r="B11" s="20" t="s">
        <v>71</v>
      </c>
      <c r="C11" s="19" t="s">
        <v>95</v>
      </c>
      <c r="D11" s="21" t="s">
        <v>96</v>
      </c>
      <c r="E11" s="19" t="s">
        <v>74</v>
      </c>
      <c r="F11" s="19" t="s">
        <v>80</v>
      </c>
      <c r="G11" s="19" t="s">
        <v>76</v>
      </c>
      <c r="H11" s="21"/>
    </row>
    <row r="12" customFormat="false" ht="23.85" hidden="false" customHeight="false" outlineLevel="0" collapsed="false">
      <c r="A12" s="19" t="n">
        <v>10</v>
      </c>
      <c r="B12" s="20" t="s">
        <v>71</v>
      </c>
      <c r="C12" s="19" t="s">
        <v>95</v>
      </c>
      <c r="D12" s="21" t="s">
        <v>97</v>
      </c>
      <c r="E12" s="19" t="s">
        <v>74</v>
      </c>
      <c r="F12" s="19" t="s">
        <v>98</v>
      </c>
      <c r="G12" s="19" t="s">
        <v>76</v>
      </c>
      <c r="H12" s="21"/>
    </row>
    <row r="13" customFormat="false" ht="35.05" hidden="false" customHeight="false" outlineLevel="0" collapsed="false">
      <c r="A13" s="19" t="n">
        <v>11</v>
      </c>
      <c r="B13" s="20" t="s">
        <v>71</v>
      </c>
      <c r="C13" s="19" t="s">
        <v>99</v>
      </c>
      <c r="D13" s="21" t="s">
        <v>100</v>
      </c>
      <c r="E13" s="19" t="s">
        <v>74</v>
      </c>
      <c r="F13" s="19" t="s">
        <v>92</v>
      </c>
      <c r="G13" s="19" t="s">
        <v>76</v>
      </c>
      <c r="H13" s="21" t="s">
        <v>101</v>
      </c>
    </row>
    <row r="14" customFormat="false" ht="35.05" hidden="false" customHeight="false" outlineLevel="0" collapsed="false">
      <c r="A14" s="19" t="n">
        <v>12</v>
      </c>
      <c r="B14" s="20" t="s">
        <v>71</v>
      </c>
      <c r="C14" s="19" t="s">
        <v>99</v>
      </c>
      <c r="D14" s="21" t="s">
        <v>102</v>
      </c>
      <c r="E14" s="19" t="s">
        <v>74</v>
      </c>
      <c r="F14" s="19" t="s">
        <v>92</v>
      </c>
      <c r="G14" s="19" t="s">
        <v>76</v>
      </c>
      <c r="H14" s="21"/>
    </row>
    <row r="15" customFormat="false" ht="23.85" hidden="false" customHeight="false" outlineLevel="0" collapsed="false">
      <c r="A15" s="19" t="n">
        <v>13</v>
      </c>
      <c r="B15" s="20" t="s">
        <v>71</v>
      </c>
      <c r="C15" s="19" t="s">
        <v>99</v>
      </c>
      <c r="D15" s="21" t="s">
        <v>103</v>
      </c>
      <c r="E15" s="19" t="s">
        <v>74</v>
      </c>
      <c r="F15" s="19" t="s">
        <v>92</v>
      </c>
      <c r="G15" s="19" t="s">
        <v>76</v>
      </c>
      <c r="H15" s="21"/>
    </row>
    <row r="16" customFormat="false" ht="46.25" hidden="false" customHeight="false" outlineLevel="0" collapsed="false">
      <c r="A16" s="19" t="n">
        <v>14</v>
      </c>
      <c r="B16" s="20" t="s">
        <v>71</v>
      </c>
      <c r="C16" s="19" t="s">
        <v>104</v>
      </c>
      <c r="D16" s="21" t="s">
        <v>105</v>
      </c>
      <c r="E16" s="19" t="s">
        <v>74</v>
      </c>
      <c r="F16" s="19" t="s">
        <v>75</v>
      </c>
      <c r="G16" s="19" t="s">
        <v>76</v>
      </c>
      <c r="H16" s="21"/>
    </row>
    <row r="17" customFormat="false" ht="23.85" hidden="false" customHeight="false" outlineLevel="0" collapsed="false">
      <c r="A17" s="19" t="n">
        <v>15</v>
      </c>
      <c r="B17" s="20" t="s">
        <v>71</v>
      </c>
      <c r="C17" s="19" t="s">
        <v>106</v>
      </c>
      <c r="D17" s="21" t="s">
        <v>107</v>
      </c>
      <c r="E17" s="19" t="s">
        <v>74</v>
      </c>
      <c r="F17" s="19" t="s">
        <v>92</v>
      </c>
      <c r="G17" s="19" t="s">
        <v>76</v>
      </c>
      <c r="H17" s="21"/>
    </row>
    <row r="18" customFormat="false" ht="35.05" hidden="false" customHeight="false" outlineLevel="0" collapsed="false">
      <c r="A18" s="19" t="n">
        <v>16</v>
      </c>
      <c r="B18" s="20" t="s">
        <v>71</v>
      </c>
      <c r="C18" s="19" t="s">
        <v>108</v>
      </c>
      <c r="D18" s="21" t="s">
        <v>109</v>
      </c>
      <c r="E18" s="19" t="s">
        <v>74</v>
      </c>
      <c r="F18" s="19" t="s">
        <v>92</v>
      </c>
      <c r="G18" s="19" t="s">
        <v>76</v>
      </c>
      <c r="H18" s="21"/>
    </row>
    <row r="19" customFormat="false" ht="35.05" hidden="false" customHeight="false" outlineLevel="0" collapsed="false">
      <c r="A19" s="19" t="n">
        <v>17</v>
      </c>
      <c r="B19" s="22" t="s">
        <v>110</v>
      </c>
      <c r="C19" s="19" t="s">
        <v>72</v>
      </c>
      <c r="D19" s="21" t="s">
        <v>111</v>
      </c>
      <c r="E19" s="19" t="s">
        <v>74</v>
      </c>
      <c r="F19" s="19" t="s">
        <v>112</v>
      </c>
      <c r="G19" s="19" t="s">
        <v>76</v>
      </c>
      <c r="H19" s="21" t="s">
        <v>113</v>
      </c>
    </row>
    <row r="20" customFormat="false" ht="35.05" hidden="false" customHeight="false" outlineLevel="0" collapsed="false">
      <c r="A20" s="19" t="n">
        <v>18</v>
      </c>
      <c r="B20" s="22" t="s">
        <v>110</v>
      </c>
      <c r="C20" s="19" t="s">
        <v>72</v>
      </c>
      <c r="D20" s="21" t="s">
        <v>114</v>
      </c>
      <c r="E20" s="19" t="s">
        <v>74</v>
      </c>
      <c r="F20" s="19" t="s">
        <v>115</v>
      </c>
      <c r="G20" s="19" t="s">
        <v>76</v>
      </c>
      <c r="H20" s="21"/>
    </row>
    <row r="21" customFormat="false" ht="35.05" hidden="false" customHeight="false" outlineLevel="0" collapsed="false">
      <c r="A21" s="19" t="n">
        <v>19</v>
      </c>
      <c r="B21" s="22" t="s">
        <v>110</v>
      </c>
      <c r="C21" s="19" t="s">
        <v>72</v>
      </c>
      <c r="D21" s="21" t="s">
        <v>116</v>
      </c>
      <c r="E21" s="19" t="s">
        <v>74</v>
      </c>
      <c r="F21" s="19" t="s">
        <v>117</v>
      </c>
      <c r="G21" s="19" t="s">
        <v>76</v>
      </c>
      <c r="H21" s="21"/>
    </row>
    <row r="22" customFormat="false" ht="23.85" hidden="false" customHeight="false" outlineLevel="0" collapsed="false">
      <c r="A22" s="19" t="n">
        <v>20</v>
      </c>
      <c r="B22" s="22" t="s">
        <v>110</v>
      </c>
      <c r="C22" s="19" t="s">
        <v>86</v>
      </c>
      <c r="D22" s="21" t="s">
        <v>118</v>
      </c>
      <c r="E22" s="19" t="s">
        <v>74</v>
      </c>
      <c r="F22" s="19" t="s">
        <v>119</v>
      </c>
      <c r="G22" s="19" t="s">
        <v>76</v>
      </c>
      <c r="H22" s="21"/>
    </row>
    <row r="23" customFormat="false" ht="35.05" hidden="false" customHeight="false" outlineLevel="0" collapsed="false">
      <c r="A23" s="19" t="n">
        <v>21</v>
      </c>
      <c r="B23" s="22" t="s">
        <v>110</v>
      </c>
      <c r="C23" s="19" t="s">
        <v>86</v>
      </c>
      <c r="D23" s="21" t="s">
        <v>120</v>
      </c>
      <c r="E23" s="19" t="s">
        <v>74</v>
      </c>
      <c r="F23" s="19" t="s">
        <v>117</v>
      </c>
      <c r="G23" s="19" t="s">
        <v>76</v>
      </c>
      <c r="H23" s="21"/>
    </row>
    <row r="24" customFormat="false" ht="35.05" hidden="false" customHeight="false" outlineLevel="0" collapsed="false">
      <c r="A24" s="19" t="n">
        <v>22</v>
      </c>
      <c r="B24" s="22" t="s">
        <v>110</v>
      </c>
      <c r="C24" s="19" t="s">
        <v>121</v>
      </c>
      <c r="D24" s="21" t="s">
        <v>122</v>
      </c>
      <c r="E24" s="19" t="s">
        <v>74</v>
      </c>
      <c r="F24" s="19" t="s">
        <v>117</v>
      </c>
      <c r="G24" s="19" t="s">
        <v>76</v>
      </c>
      <c r="H24" s="21"/>
    </row>
    <row r="25" customFormat="false" ht="23.85" hidden="false" customHeight="false" outlineLevel="0" collapsed="false">
      <c r="A25" s="19" t="n">
        <v>23</v>
      </c>
      <c r="B25" s="22" t="s">
        <v>110</v>
      </c>
      <c r="C25" s="19" t="s">
        <v>95</v>
      </c>
      <c r="D25" s="21" t="s">
        <v>123</v>
      </c>
      <c r="E25" s="19" t="s">
        <v>74</v>
      </c>
      <c r="F25" s="19" t="s">
        <v>119</v>
      </c>
      <c r="G25" s="19" t="s">
        <v>76</v>
      </c>
      <c r="H25" s="21"/>
    </row>
    <row r="26" customFormat="false" ht="23.85" hidden="false" customHeight="false" outlineLevel="0" collapsed="false">
      <c r="A26" s="19" t="n">
        <v>24</v>
      </c>
      <c r="B26" s="22" t="s">
        <v>110</v>
      </c>
      <c r="C26" s="19" t="s">
        <v>124</v>
      </c>
      <c r="D26" s="21" t="s">
        <v>125</v>
      </c>
      <c r="E26" s="19" t="s">
        <v>74</v>
      </c>
      <c r="F26" s="19" t="s">
        <v>119</v>
      </c>
      <c r="G26" s="19" t="s">
        <v>76</v>
      </c>
      <c r="H26" s="21"/>
    </row>
    <row r="27" customFormat="false" ht="23.85" hidden="false" customHeight="false" outlineLevel="0" collapsed="false">
      <c r="A27" s="19" t="n">
        <v>25</v>
      </c>
      <c r="B27" s="22" t="s">
        <v>110</v>
      </c>
      <c r="C27" s="19" t="s">
        <v>124</v>
      </c>
      <c r="D27" s="21" t="s">
        <v>126</v>
      </c>
      <c r="E27" s="19" t="s">
        <v>74</v>
      </c>
      <c r="F27" s="19" t="s">
        <v>117</v>
      </c>
      <c r="G27" s="19" t="s">
        <v>76</v>
      </c>
      <c r="H27" s="21"/>
    </row>
    <row r="28" customFormat="false" ht="23.85" hidden="false" customHeight="false" outlineLevel="0" collapsed="false">
      <c r="A28" s="19" t="n">
        <v>26</v>
      </c>
      <c r="B28" s="22" t="s">
        <v>110</v>
      </c>
      <c r="C28" s="19" t="s">
        <v>104</v>
      </c>
      <c r="D28" s="21" t="s">
        <v>127</v>
      </c>
      <c r="E28" s="19" t="s">
        <v>74</v>
      </c>
      <c r="F28" s="19" t="s">
        <v>128</v>
      </c>
      <c r="G28" s="19" t="s">
        <v>76</v>
      </c>
      <c r="H28" s="21"/>
    </row>
    <row r="29" customFormat="false" ht="23.85" hidden="false" customHeight="false" outlineLevel="0" collapsed="false">
      <c r="A29" s="19" t="n">
        <v>27</v>
      </c>
      <c r="B29" s="22" t="s">
        <v>110</v>
      </c>
      <c r="C29" s="19" t="s">
        <v>106</v>
      </c>
      <c r="D29" s="21" t="s">
        <v>129</v>
      </c>
      <c r="E29" s="19" t="s">
        <v>74</v>
      </c>
      <c r="F29" s="19" t="s">
        <v>117</v>
      </c>
      <c r="G29" s="19" t="s">
        <v>76</v>
      </c>
      <c r="H29" s="21"/>
    </row>
    <row r="30" customFormat="false" ht="23.85" hidden="false" customHeight="false" outlineLevel="0" collapsed="false">
      <c r="A30" s="19" t="n">
        <v>28</v>
      </c>
      <c r="B30" s="22" t="s">
        <v>110</v>
      </c>
      <c r="C30" s="19" t="s">
        <v>99</v>
      </c>
      <c r="D30" s="21" t="s">
        <v>130</v>
      </c>
      <c r="E30" s="19" t="s">
        <v>74</v>
      </c>
      <c r="F30" s="19" t="s">
        <v>117</v>
      </c>
      <c r="G30" s="19" t="s">
        <v>76</v>
      </c>
      <c r="H30" s="21"/>
    </row>
    <row r="31" customFormat="false" ht="35.05" hidden="false" customHeight="false" outlineLevel="0" collapsed="false">
      <c r="A31" s="19" t="n">
        <v>29</v>
      </c>
      <c r="B31" s="23" t="s">
        <v>131</v>
      </c>
      <c r="C31" s="19" t="s">
        <v>72</v>
      </c>
      <c r="D31" s="21" t="s">
        <v>132</v>
      </c>
      <c r="E31" s="19" t="s">
        <v>74</v>
      </c>
      <c r="F31" s="19" t="s">
        <v>133</v>
      </c>
      <c r="G31" s="19" t="s">
        <v>76</v>
      </c>
      <c r="H31" s="21"/>
    </row>
    <row r="32" customFormat="false" ht="23.85" hidden="false" customHeight="false" outlineLevel="0" collapsed="false">
      <c r="A32" s="19" t="n">
        <v>30</v>
      </c>
      <c r="B32" s="23" t="s">
        <v>131</v>
      </c>
      <c r="C32" s="19" t="s">
        <v>72</v>
      </c>
      <c r="D32" s="21" t="s">
        <v>134</v>
      </c>
      <c r="E32" s="19" t="s">
        <v>74</v>
      </c>
      <c r="F32" s="19" t="s">
        <v>135</v>
      </c>
      <c r="G32" s="19" t="s">
        <v>76</v>
      </c>
      <c r="H32" s="21"/>
    </row>
    <row r="33" customFormat="false" ht="23.85" hidden="false" customHeight="false" outlineLevel="0" collapsed="false">
      <c r="A33" s="19" t="n">
        <v>31</v>
      </c>
      <c r="B33" s="23" t="s">
        <v>131</v>
      </c>
      <c r="C33" s="19" t="s">
        <v>95</v>
      </c>
      <c r="D33" s="21" t="s">
        <v>136</v>
      </c>
      <c r="E33" s="19" t="s">
        <v>74</v>
      </c>
      <c r="F33" s="19" t="s">
        <v>137</v>
      </c>
      <c r="G33" s="19" t="s">
        <v>76</v>
      </c>
      <c r="H33" s="21"/>
    </row>
    <row r="34" customFormat="false" ht="23.85" hidden="false" customHeight="false" outlineLevel="0" collapsed="false">
      <c r="A34" s="19" t="n">
        <v>32</v>
      </c>
      <c r="B34" s="23" t="s">
        <v>131</v>
      </c>
      <c r="C34" s="19" t="s">
        <v>95</v>
      </c>
      <c r="D34" s="21" t="s">
        <v>138</v>
      </c>
      <c r="E34" s="19" t="s">
        <v>74</v>
      </c>
      <c r="F34" s="19" t="s">
        <v>139</v>
      </c>
      <c r="G34" s="19" t="s">
        <v>76</v>
      </c>
      <c r="H34" s="21"/>
    </row>
    <row r="35" customFormat="false" ht="23.85" hidden="false" customHeight="false" outlineLevel="0" collapsed="false">
      <c r="A35" s="19" t="n">
        <v>33</v>
      </c>
      <c r="B35" s="23" t="s">
        <v>131</v>
      </c>
      <c r="C35" s="19" t="s">
        <v>104</v>
      </c>
      <c r="D35" s="21" t="s">
        <v>140</v>
      </c>
      <c r="E35" s="19" t="s">
        <v>74</v>
      </c>
      <c r="F35" s="19" t="s">
        <v>141</v>
      </c>
      <c r="G35" s="19" t="s">
        <v>76</v>
      </c>
      <c r="H35" s="21"/>
    </row>
    <row r="36" customFormat="false" ht="23.85" hidden="false" customHeight="false" outlineLevel="0" collapsed="false">
      <c r="A36" s="19" t="n">
        <v>34</v>
      </c>
      <c r="B36" s="23" t="s">
        <v>131</v>
      </c>
      <c r="C36" s="19" t="s">
        <v>106</v>
      </c>
      <c r="D36" s="21" t="s">
        <v>142</v>
      </c>
      <c r="E36" s="19" t="s">
        <v>74</v>
      </c>
      <c r="F36" s="19" t="s">
        <v>141</v>
      </c>
      <c r="G36" s="19" t="s">
        <v>76</v>
      </c>
      <c r="H36" s="21"/>
    </row>
    <row r="37" customFormat="false" ht="35.05" hidden="false" customHeight="false" outlineLevel="0" collapsed="false">
      <c r="A37" s="19" t="n">
        <v>35</v>
      </c>
      <c r="B37" s="23" t="s">
        <v>131</v>
      </c>
      <c r="C37" s="19" t="s">
        <v>99</v>
      </c>
      <c r="D37" s="21" t="s">
        <v>143</v>
      </c>
      <c r="E37" s="19" t="s">
        <v>74</v>
      </c>
      <c r="F37" s="19" t="s">
        <v>141</v>
      </c>
      <c r="G37" s="19" t="s">
        <v>76</v>
      </c>
      <c r="H37" s="21"/>
    </row>
    <row r="38" customFormat="false" ht="23.85" hidden="false" customHeight="false" outlineLevel="0" collapsed="false">
      <c r="A38" s="19" t="n">
        <v>36</v>
      </c>
      <c r="B38" s="23" t="s">
        <v>131</v>
      </c>
      <c r="C38" s="19" t="s">
        <v>108</v>
      </c>
      <c r="D38" s="21" t="s">
        <v>144</v>
      </c>
      <c r="E38" s="19" t="s">
        <v>74</v>
      </c>
      <c r="F38" s="19" t="s">
        <v>145</v>
      </c>
      <c r="G38" s="19" t="s">
        <v>76</v>
      </c>
      <c r="H38" s="21"/>
    </row>
    <row r="39" customFormat="false" ht="23.85" hidden="false" customHeight="false" outlineLevel="0" collapsed="false">
      <c r="A39" s="19" t="n">
        <v>37</v>
      </c>
      <c r="B39" s="23" t="s">
        <v>131</v>
      </c>
      <c r="C39" s="19" t="s">
        <v>124</v>
      </c>
      <c r="D39" s="21" t="s">
        <v>146</v>
      </c>
      <c r="E39" s="19" t="s">
        <v>74</v>
      </c>
      <c r="F39" s="19" t="s">
        <v>141</v>
      </c>
      <c r="G39" s="19" t="s">
        <v>76</v>
      </c>
      <c r="H39" s="21"/>
    </row>
    <row r="40" customFormat="false" ht="23.85" hidden="false" customHeight="false" outlineLevel="0" collapsed="false">
      <c r="A40" s="19" t="n">
        <v>38</v>
      </c>
      <c r="B40" s="23" t="s">
        <v>131</v>
      </c>
      <c r="C40" s="19" t="s">
        <v>121</v>
      </c>
      <c r="D40" s="21" t="s">
        <v>147</v>
      </c>
      <c r="E40" s="19" t="s">
        <v>74</v>
      </c>
      <c r="F40" s="19" t="s">
        <v>141</v>
      </c>
      <c r="G40" s="19" t="s">
        <v>76</v>
      </c>
      <c r="H40" s="21"/>
    </row>
    <row r="41" customFormat="false" ht="23.85" hidden="false" customHeight="false" outlineLevel="0" collapsed="false">
      <c r="A41" s="19" t="n">
        <v>39</v>
      </c>
      <c r="B41" s="24" t="s">
        <v>148</v>
      </c>
      <c r="C41" s="19" t="s">
        <v>95</v>
      </c>
      <c r="D41" s="21" t="s">
        <v>149</v>
      </c>
      <c r="E41" s="19" t="s">
        <v>74</v>
      </c>
      <c r="F41" s="19" t="s">
        <v>150</v>
      </c>
      <c r="G41" s="19" t="s">
        <v>76</v>
      </c>
      <c r="H41" s="21"/>
    </row>
    <row r="42" customFormat="false" ht="15" hidden="false" customHeight="false" outlineLevel="0" collapsed="false">
      <c r="A42" s="19" t="n">
        <v>40</v>
      </c>
      <c r="B42" s="24" t="s">
        <v>148</v>
      </c>
      <c r="C42" s="19" t="s">
        <v>124</v>
      </c>
      <c r="D42" s="21" t="s">
        <v>151</v>
      </c>
      <c r="E42" s="19" t="s">
        <v>74</v>
      </c>
      <c r="F42" s="19" t="s">
        <v>152</v>
      </c>
      <c r="G42" s="19" t="s">
        <v>76</v>
      </c>
      <c r="H42" s="21"/>
    </row>
    <row r="43" customFormat="false" ht="23.85" hidden="false" customHeight="false" outlineLevel="0" collapsed="false">
      <c r="A43" s="19" t="n">
        <v>41</v>
      </c>
      <c r="B43" s="24" t="s">
        <v>148</v>
      </c>
      <c r="C43" s="19" t="s">
        <v>104</v>
      </c>
      <c r="D43" s="21" t="s">
        <v>153</v>
      </c>
      <c r="E43" s="19" t="s">
        <v>74</v>
      </c>
      <c r="F43" s="19" t="s">
        <v>154</v>
      </c>
      <c r="G43" s="19" t="s">
        <v>76</v>
      </c>
      <c r="H43" s="21"/>
    </row>
    <row r="44" customFormat="false" ht="23.85" hidden="false" customHeight="false" outlineLevel="0" collapsed="false">
      <c r="A44" s="19" t="n">
        <v>42</v>
      </c>
      <c r="B44" s="24" t="s">
        <v>148</v>
      </c>
      <c r="C44" s="19" t="s">
        <v>99</v>
      </c>
      <c r="D44" s="21" t="s">
        <v>155</v>
      </c>
      <c r="E44" s="19" t="s">
        <v>74</v>
      </c>
      <c r="F44" s="19" t="s">
        <v>156</v>
      </c>
      <c r="G44" s="19" t="s">
        <v>76</v>
      </c>
      <c r="H44" s="21"/>
    </row>
    <row r="45" customFormat="false" ht="23.85" hidden="false" customHeight="false" outlineLevel="0" collapsed="false">
      <c r="A45" s="19" t="n">
        <v>43</v>
      </c>
      <c r="B45" s="24" t="s">
        <v>148</v>
      </c>
      <c r="C45" s="19" t="s">
        <v>99</v>
      </c>
      <c r="D45" s="21" t="s">
        <v>157</v>
      </c>
      <c r="E45" s="19" t="s">
        <v>74</v>
      </c>
      <c r="F45" s="19" t="s">
        <v>156</v>
      </c>
      <c r="G45" s="19" t="s">
        <v>76</v>
      </c>
      <c r="H45" s="21"/>
    </row>
    <row r="46" customFormat="false" ht="35.05" hidden="false" customHeight="false" outlineLevel="0" collapsed="false">
      <c r="A46" s="19" t="n">
        <v>44</v>
      </c>
      <c r="B46" s="24" t="s">
        <v>148</v>
      </c>
      <c r="C46" s="19" t="s">
        <v>121</v>
      </c>
      <c r="D46" s="21" t="s">
        <v>158</v>
      </c>
      <c r="E46" s="19" t="s">
        <v>74</v>
      </c>
      <c r="F46" s="19" t="s">
        <v>156</v>
      </c>
      <c r="G46" s="19" t="s">
        <v>76</v>
      </c>
      <c r="H46" s="21"/>
    </row>
    <row r="47" customFormat="false" ht="15" hidden="false" customHeight="false" outlineLevel="0" collapsed="false">
      <c r="A47" s="19" t="n">
        <v>45</v>
      </c>
      <c r="B47" s="24" t="s">
        <v>148</v>
      </c>
      <c r="C47" s="19" t="s">
        <v>108</v>
      </c>
      <c r="D47" s="21" t="s">
        <v>159</v>
      </c>
      <c r="E47" s="19" t="s">
        <v>74</v>
      </c>
      <c r="F47" s="19" t="s">
        <v>160</v>
      </c>
      <c r="G47" s="19" t="s">
        <v>76</v>
      </c>
      <c r="H47" s="21"/>
    </row>
    <row r="48" customFormat="false" ht="23.85" hidden="false" customHeight="false" outlineLevel="0" collapsed="false">
      <c r="A48" s="19" t="n">
        <v>46</v>
      </c>
      <c r="B48" s="24" t="s">
        <v>148</v>
      </c>
      <c r="C48" s="19" t="s">
        <v>161</v>
      </c>
      <c r="D48" s="21" t="s">
        <v>162</v>
      </c>
      <c r="E48" s="19" t="s">
        <v>74</v>
      </c>
      <c r="F48" s="19" t="s">
        <v>156</v>
      </c>
      <c r="G48" s="19" t="s">
        <v>76</v>
      </c>
      <c r="H48" s="21"/>
    </row>
    <row r="49" customFormat="false" ht="23.85" hidden="false" customHeight="false" outlineLevel="0" collapsed="false">
      <c r="A49" s="19" t="n">
        <v>47</v>
      </c>
      <c r="B49" s="24" t="s">
        <v>148</v>
      </c>
      <c r="C49" s="19" t="s">
        <v>161</v>
      </c>
      <c r="D49" s="21" t="s">
        <v>163</v>
      </c>
      <c r="E49" s="19" t="s">
        <v>74</v>
      </c>
      <c r="F49" s="19" t="s">
        <v>156</v>
      </c>
      <c r="G49" s="19" t="s">
        <v>76</v>
      </c>
      <c r="H49" s="21"/>
    </row>
    <row r="50" customFormat="false" ht="35.05" hidden="false" customHeight="false" outlineLevel="0" collapsed="false">
      <c r="A50" s="19" t="n">
        <v>48</v>
      </c>
      <c r="B50" s="25" t="s">
        <v>164</v>
      </c>
      <c r="C50" s="19" t="s">
        <v>72</v>
      </c>
      <c r="D50" s="21" t="s">
        <v>165</v>
      </c>
      <c r="E50" s="19" t="s">
        <v>74</v>
      </c>
      <c r="F50" s="19" t="s">
        <v>166</v>
      </c>
      <c r="G50" s="19" t="s">
        <v>76</v>
      </c>
      <c r="H50" s="21" t="s">
        <v>167</v>
      </c>
    </row>
    <row r="51" customFormat="false" ht="23.85" hidden="false" customHeight="false" outlineLevel="0" collapsed="false">
      <c r="A51" s="19" t="n">
        <v>49</v>
      </c>
      <c r="B51" s="25" t="s">
        <v>164</v>
      </c>
      <c r="C51" s="19" t="s">
        <v>72</v>
      </c>
      <c r="D51" s="21" t="s">
        <v>168</v>
      </c>
      <c r="E51" s="19" t="s">
        <v>79</v>
      </c>
      <c r="F51" s="19" t="s">
        <v>169</v>
      </c>
      <c r="G51" s="19" t="s">
        <v>76</v>
      </c>
      <c r="H51" s="21"/>
    </row>
    <row r="52" customFormat="false" ht="35.05" hidden="false" customHeight="false" outlineLevel="0" collapsed="false">
      <c r="A52" s="19" t="n">
        <v>50</v>
      </c>
      <c r="B52" s="25" t="s">
        <v>164</v>
      </c>
      <c r="C52" s="19" t="s">
        <v>170</v>
      </c>
      <c r="D52" s="21" t="s">
        <v>171</v>
      </c>
      <c r="E52" s="19" t="s">
        <v>79</v>
      </c>
      <c r="F52" s="19" t="s">
        <v>172</v>
      </c>
      <c r="G52" s="19" t="s">
        <v>76</v>
      </c>
      <c r="H52" s="21"/>
    </row>
    <row r="53" customFormat="false" ht="15" hidden="false" customHeight="false" outlineLevel="0" collapsed="false">
      <c r="A53" s="19" t="n">
        <v>51</v>
      </c>
      <c r="B53" s="25" t="s">
        <v>164</v>
      </c>
      <c r="C53" s="19" t="s">
        <v>161</v>
      </c>
      <c r="D53" s="21" t="s">
        <v>173</v>
      </c>
      <c r="E53" s="19" t="s">
        <v>74</v>
      </c>
      <c r="F53" s="19" t="s">
        <v>172</v>
      </c>
      <c r="G53" s="19" t="s">
        <v>76</v>
      </c>
      <c r="H53" s="21"/>
    </row>
    <row r="54" customFormat="false" ht="35.05" hidden="false" customHeight="false" outlineLevel="0" collapsed="false">
      <c r="A54" s="19" t="n">
        <v>52</v>
      </c>
      <c r="B54" s="25" t="s">
        <v>164</v>
      </c>
      <c r="C54" s="19" t="s">
        <v>161</v>
      </c>
      <c r="D54" s="21" t="s">
        <v>174</v>
      </c>
      <c r="E54" s="19" t="s">
        <v>74</v>
      </c>
      <c r="F54" s="19" t="s">
        <v>175</v>
      </c>
      <c r="G54" s="19" t="s">
        <v>76</v>
      </c>
      <c r="H54" s="21"/>
    </row>
    <row r="55" customFormat="false" ht="46.25" hidden="false" customHeight="false" outlineLevel="0" collapsed="false">
      <c r="A55" s="19" t="n">
        <v>53</v>
      </c>
      <c r="B55" s="25" t="s">
        <v>164</v>
      </c>
      <c r="C55" s="19" t="s">
        <v>161</v>
      </c>
      <c r="D55" s="21" t="s">
        <v>176</v>
      </c>
      <c r="E55" s="19" t="s">
        <v>74</v>
      </c>
      <c r="F55" s="19" t="s">
        <v>177</v>
      </c>
      <c r="G55" s="19" t="s">
        <v>76</v>
      </c>
      <c r="H55" s="21"/>
    </row>
    <row r="56" customFormat="false" ht="23.85" hidden="false" customHeight="false" outlineLevel="0" collapsed="false">
      <c r="A56" s="19" t="n">
        <v>54</v>
      </c>
      <c r="B56" s="25" t="s">
        <v>164</v>
      </c>
      <c r="C56" s="19" t="s">
        <v>99</v>
      </c>
      <c r="D56" s="21" t="s">
        <v>178</v>
      </c>
      <c r="E56" s="19" t="s">
        <v>74</v>
      </c>
      <c r="F56" s="19" t="s">
        <v>177</v>
      </c>
      <c r="G56" s="19" t="s">
        <v>76</v>
      </c>
      <c r="H56" s="21"/>
    </row>
    <row r="57" customFormat="false" ht="35.05" hidden="false" customHeight="false" outlineLevel="0" collapsed="false">
      <c r="A57" s="19" t="n">
        <v>55</v>
      </c>
      <c r="B57" s="26" t="s">
        <v>179</v>
      </c>
      <c r="C57" s="19" t="s">
        <v>170</v>
      </c>
      <c r="D57" s="21" t="s">
        <v>180</v>
      </c>
      <c r="E57" s="19" t="s">
        <v>74</v>
      </c>
      <c r="F57" s="19" t="s">
        <v>181</v>
      </c>
      <c r="G57" s="19" t="s">
        <v>76</v>
      </c>
      <c r="H57" s="21"/>
    </row>
    <row r="58" customFormat="false" ht="23.85" hidden="false" customHeight="false" outlineLevel="0" collapsed="false">
      <c r="A58" s="19" t="n">
        <v>56</v>
      </c>
      <c r="B58" s="26" t="s">
        <v>179</v>
      </c>
      <c r="C58" s="19" t="s">
        <v>170</v>
      </c>
      <c r="D58" s="21" t="s">
        <v>182</v>
      </c>
      <c r="E58" s="19" t="s">
        <v>74</v>
      </c>
      <c r="F58" s="19" t="s">
        <v>183</v>
      </c>
      <c r="G58" s="19" t="s">
        <v>76</v>
      </c>
      <c r="H58" s="21"/>
    </row>
    <row r="59" customFormat="false" ht="15" hidden="false" customHeight="false" outlineLevel="0" collapsed="false">
      <c r="A59" s="19" t="n">
        <v>57</v>
      </c>
      <c r="B59" s="26" t="s">
        <v>179</v>
      </c>
      <c r="C59" s="19" t="s">
        <v>170</v>
      </c>
      <c r="D59" s="21" t="s">
        <v>184</v>
      </c>
      <c r="E59" s="19" t="s">
        <v>74</v>
      </c>
      <c r="F59" s="19" t="s">
        <v>183</v>
      </c>
      <c r="G59" s="19" t="s">
        <v>76</v>
      </c>
      <c r="H59" s="21"/>
    </row>
    <row r="60" customFormat="false" ht="35.05" hidden="false" customHeight="false" outlineLevel="0" collapsed="false">
      <c r="A60" s="19" t="n">
        <v>58</v>
      </c>
      <c r="B60" s="26" t="s">
        <v>179</v>
      </c>
      <c r="C60" s="19" t="s">
        <v>170</v>
      </c>
      <c r="D60" s="21" t="s">
        <v>185</v>
      </c>
      <c r="E60" s="19" t="s">
        <v>74</v>
      </c>
      <c r="F60" s="19" t="s">
        <v>186</v>
      </c>
      <c r="G60" s="19" t="s">
        <v>76</v>
      </c>
      <c r="H60" s="21"/>
    </row>
    <row r="61" customFormat="false" ht="46.25" hidden="false" customHeight="false" outlineLevel="0" collapsed="false">
      <c r="A61" s="19" t="n">
        <v>59</v>
      </c>
      <c r="B61" s="27" t="s">
        <v>187</v>
      </c>
      <c r="C61" s="19" t="s">
        <v>86</v>
      </c>
      <c r="D61" s="21" t="s">
        <v>188</v>
      </c>
      <c r="E61" s="19" t="s">
        <v>79</v>
      </c>
      <c r="F61" s="19" t="s">
        <v>189</v>
      </c>
      <c r="G61" s="19" t="s">
        <v>76</v>
      </c>
      <c r="H61" s="21"/>
    </row>
    <row r="62" customFormat="false" ht="23.85" hidden="false" customHeight="false" outlineLevel="0" collapsed="false">
      <c r="A62" s="19" t="n">
        <v>60</v>
      </c>
      <c r="B62" s="27" t="s">
        <v>187</v>
      </c>
      <c r="C62" s="19" t="s">
        <v>86</v>
      </c>
      <c r="D62" s="21" t="s">
        <v>190</v>
      </c>
      <c r="E62" s="19" t="s">
        <v>74</v>
      </c>
      <c r="F62" s="19" t="s">
        <v>191</v>
      </c>
      <c r="G62" s="19" t="s">
        <v>76</v>
      </c>
      <c r="H62" s="21"/>
    </row>
    <row r="63" customFormat="false" ht="46.25" hidden="false" customHeight="false" outlineLevel="0" collapsed="false">
      <c r="A63" s="19" t="n">
        <v>61</v>
      </c>
      <c r="B63" s="27" t="s">
        <v>187</v>
      </c>
      <c r="C63" s="19" t="s">
        <v>86</v>
      </c>
      <c r="D63" s="21" t="s">
        <v>192</v>
      </c>
      <c r="E63" s="19" t="s">
        <v>74</v>
      </c>
      <c r="F63" s="19" t="s">
        <v>193</v>
      </c>
      <c r="G63" s="19" t="s">
        <v>76</v>
      </c>
      <c r="H63" s="21"/>
    </row>
    <row r="64" customFormat="false" ht="23.85" hidden="false" customHeight="false" outlineLevel="0" collapsed="false">
      <c r="A64" s="19" t="n">
        <v>62</v>
      </c>
      <c r="B64" s="27" t="s">
        <v>187</v>
      </c>
      <c r="C64" s="19" t="s">
        <v>99</v>
      </c>
      <c r="D64" s="21" t="s">
        <v>194</v>
      </c>
      <c r="E64" s="19" t="s">
        <v>74</v>
      </c>
      <c r="F64" s="19" t="s">
        <v>191</v>
      </c>
      <c r="G64" s="19" t="s">
        <v>76</v>
      </c>
      <c r="H64" s="21"/>
    </row>
    <row r="65" customFormat="false" ht="23.85" hidden="false" customHeight="false" outlineLevel="0" collapsed="false">
      <c r="A65" s="19" t="n">
        <v>63</v>
      </c>
      <c r="B65" s="27" t="s">
        <v>187</v>
      </c>
      <c r="C65" s="19" t="s">
        <v>124</v>
      </c>
      <c r="D65" s="21" t="s">
        <v>195</v>
      </c>
      <c r="E65" s="19" t="s">
        <v>74</v>
      </c>
      <c r="F65" s="19" t="s">
        <v>196</v>
      </c>
      <c r="G65" s="19" t="s">
        <v>76</v>
      </c>
      <c r="H65" s="21"/>
    </row>
    <row r="66" customFormat="false" ht="35.05" hidden="false" customHeight="false" outlineLevel="0" collapsed="false">
      <c r="A66" s="19" t="n">
        <v>64</v>
      </c>
      <c r="B66" s="27" t="s">
        <v>187</v>
      </c>
      <c r="C66" s="19" t="s">
        <v>72</v>
      </c>
      <c r="D66" s="21" t="s">
        <v>197</v>
      </c>
      <c r="E66" s="19" t="s">
        <v>74</v>
      </c>
      <c r="F66" s="19" t="s">
        <v>191</v>
      </c>
      <c r="G66" s="19" t="s">
        <v>76</v>
      </c>
      <c r="H66" s="21"/>
    </row>
    <row r="67" customFormat="false" ht="35.05" hidden="false" customHeight="false" outlineLevel="0" collapsed="false">
      <c r="A67" s="19" t="n">
        <v>65</v>
      </c>
      <c r="B67" s="27" t="s">
        <v>187</v>
      </c>
      <c r="C67" s="19" t="s">
        <v>108</v>
      </c>
      <c r="D67" s="21" t="s">
        <v>198</v>
      </c>
      <c r="E67" s="19" t="s">
        <v>74</v>
      </c>
      <c r="F67" s="19" t="s">
        <v>196</v>
      </c>
      <c r="G67" s="19" t="s">
        <v>76</v>
      </c>
      <c r="H67" s="21"/>
    </row>
    <row r="68" customFormat="false" ht="35.05" hidden="false" customHeight="false" outlineLevel="0" collapsed="false">
      <c r="A68" s="19" t="n">
        <v>66</v>
      </c>
      <c r="B68" s="27" t="s">
        <v>187</v>
      </c>
      <c r="C68" s="19" t="s">
        <v>99</v>
      </c>
      <c r="D68" s="21" t="s">
        <v>199</v>
      </c>
      <c r="E68" s="19" t="s">
        <v>74</v>
      </c>
      <c r="F68" s="19" t="s">
        <v>200</v>
      </c>
      <c r="G68" s="19" t="s">
        <v>76</v>
      </c>
      <c r="H68" s="21"/>
    </row>
  </sheetData>
  <autoFilter ref="A2:H68"/>
  <mergeCells count="1">
    <mergeCell ref="A1:H1"/>
  </mergeCells>
  <conditionalFormatting sqref="G3:G68">
    <cfRule type="cellIs" priority="2" operator="equal" aboveAverage="0" equalAverage="0" bottom="0" percent="0" rank="0" text="" dxfId="10">
      <formula>"Concluído"</formula>
    </cfRule>
    <cfRule type="cellIs" priority="3" operator="equal" aboveAverage="0" equalAverage="0" bottom="0" percent="0" rank="0" text="" dxfId="11">
      <formula>"Em andamento"</formula>
    </cfRule>
  </conditionalFormatting>
  <dataValidations count="1">
    <dataValidation allowBlank="false" errorStyle="stop" operator="between" showDropDown="false" showErrorMessage="false" showInputMessage="false" sqref="G3:G68" type="list">
      <formula1>"Não iniciado,Em andamento,Concluído"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2026-06-21T14:15:00Z</dcterms:created>
  <dc:creator>openpyxl</dc:creator>
  <dc:description/>
  <dc:language>en-US</dc:language>
  <cp:lastModifiedBy/>
  <dcterms:modified xsi:type="dcterms:W3CDTF">2026-06-21T14:15:00Z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